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chenxl\source\repos\GenerateExcelTemplate_New\GenerateExcelTemplate_New\bin\Debug\"/>
    </mc:Choice>
  </mc:AlternateContent>
  <xr:revisionPtr revIDLastSave="34" documentId="8_{B0CF9DD7-4205-4430-ADA3-E44787A6CD07}" xr6:coauthVersionLast="47" xr6:coauthVersionMax="47" xr10:uidLastSave="{BFD2153A-AB4B-415B-B8BA-DA865EC5E937}"/>
  <bookViews>
    <workbookView xWindow="-120" yWindow="-120" windowWidth="51840" windowHeight="21120" xr2:uid="{00000000-000D-0000-FFFF-FFFF00000000}"/>
  </bookViews>
  <sheets>
    <sheet name="Responses" sheetId="40" r:id="rId1"/>
    <sheet name="Summary" sheetId="4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1" l="1"/>
  <c r="B24" i="41"/>
  <c r="B23" i="41"/>
  <c r="A14" i="41" a="1"/>
  <c r="A14" i="41" s="1"/>
  <c r="B14" i="41" a="1"/>
  <c r="B14" i="41" s="1"/>
  <c r="C14" i="41" a="1"/>
  <c r="C14" i="41" s="1"/>
  <c r="A6" i="41" a="1"/>
  <c r="A6" i="41" s="1"/>
  <c r="B6" i="41" a="1"/>
  <c r="B6" i="41" s="1"/>
  <c r="C6" i="41" a="1"/>
  <c r="C6" i="41" s="1"/>
  <c r="B2" i="41"/>
  <c r="A2" i="4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<sst xmlns="http://schemas.openxmlformats.org/spreadsheetml/2006/main" count="68" uniqueCount="49">
  <si>
    <t>Id</t>
  </si>
  <si>
    <t>Start time</t>
  </si>
  <si>
    <t>Completion time</t>
  </si>
  <si>
    <t>Email</t>
  </si>
  <si>
    <t>Name</t>
  </si>
  <si>
    <t>Language</t>
  </si>
  <si>
    <t>Premium Booking, Aftermarket collection or Speed-up</t>
  </si>
  <si>
    <t>TO number</t>
  </si>
  <si>
    <t>MFG Code</t>
  </si>
  <si>
    <t>SHP Code</t>
  </si>
  <si>
    <t>Reasons1</t>
  </si>
  <si>
    <t>Reasons</t>
  </si>
  <si>
    <t>Comment</t>
  </si>
  <si>
    <t>PN</t>
  </si>
  <si>
    <t>Reasons2</t>
  </si>
  <si>
    <t>Quantity</t>
  </si>
  <si>
    <t>Collected by:</t>
  </si>
  <si>
    <t>Comment1</t>
  </si>
  <si>
    <t>TO Number1</t>
  </si>
  <si>
    <t>Part Number</t>
  </si>
  <si>
    <t>Reasons3</t>
  </si>
  <si>
    <t>MFG code1</t>
  </si>
  <si>
    <t>Comment2</t>
  </si>
  <si>
    <t>ETOUNSI@volvocars.com</t>
  </si>
  <si>
    <t>Eya Tounsi</t>
  </si>
  <si>
    <t>Aftermarket Collection</t>
  </si>
  <si>
    <t>55</t>
  </si>
  <si>
    <t>Premium</t>
  </si>
  <si>
    <t>Premium Booking</t>
  </si>
  <si>
    <t>VCC - Internal problems, lack of personnel, tool break down etc</t>
  </si>
  <si>
    <t>Speed-Up</t>
  </si>
  <si>
    <t>99</t>
  </si>
  <si>
    <t>vvd</t>
  </si>
  <si>
    <t>MJORNRYD@volvocars.com</t>
  </si>
  <si>
    <t>Mika Jörnryd</t>
  </si>
  <si>
    <t>92434807</t>
  </si>
  <si>
    <t>D0PRF</t>
  </si>
  <si>
    <t xml:space="preserve">V436 TT // Replacement parts, too late for standard transport. </t>
  </si>
  <si>
    <t>Average Rating</t>
  </si>
  <si>
    <t>Response Count</t>
  </si>
  <si>
    <t>Pivot by Experience in Retail</t>
  </si>
  <si>
    <t>Experience in Retail</t>
  </si>
  <si>
    <t>Pivot by Communication Frequency</t>
  </si>
  <si>
    <t>Comm Frequency</t>
  </si>
  <si>
    <t>Breakdown of Key Communication Aspects</t>
  </si>
  <si>
    <t>Perspective</t>
  </si>
  <si>
    <t>Clarity of Updates</t>
  </si>
  <si>
    <t>Timeliness of Mgt Comm</t>
  </si>
  <si>
    <t>Idea-Sharing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</si>
</sst>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B9CD3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0E8D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8D7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18" fillId="36" borderId="0" xfId="0" applyFont="1" applyFill="1" applyAlignment="1">
      <alignment vertical="center"/>
    </xf>
    <xf numFmtId="0" fontId="21" fillId="37" borderId="0" xfId="0" applyFont="1" applyFill="1"/>
    <xf numFmtId="0" fontId="18" fillId="39" borderId="0" xfId="0" applyFont="1" applyFill="1" applyAlignment="1">
      <alignment vertical="center"/>
    </xf>
    <xf numFmtId="0" fontId="18" fillId="41" borderId="0" xfId="0" applyFont="1" applyFill="1" applyAlignment="1">
      <alignment vertical="center"/>
    </xf>
    <xf numFmtId="22" fontId="0" fillId="0" borderId="0" xfId="0" applyNumberFormat="1"/>
    <xf numFmtId="49" fontId="0" fillId="0" borderId="0" xfId="0" quotePrefix="1" applyNumberFormat="1"/>
    <xf numFmtId="0" fontId="19" fillId="35" borderId="0" xfId="0" applyFont="1" applyFill="1" applyAlignment="1">
      <alignment horizontal="center" vertical="center"/>
    </xf>
    <xf numFmtId="0" fontId="19" fillId="38" borderId="0" xfId="0" applyFont="1" applyFill="1" applyAlignment="1">
      <alignment horizontal="center" vertical="center"/>
    </xf>
    <xf numFmtId="0" fontId="19" fillId="40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quotePrefix="1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644525</xdr:colOff>
      <xdr:row>0</xdr:row>
      <xdr:rowOff>127000</xdr:rowOff>
    </xdr:from>
    <xdr:to>
      <xdr:col>8</xdr:col>
      <xdr:colOff>114300</xdr:colOff>
      <xdr:row>10</xdr:row>
      <xdr:rowOff>3175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4E322D-21E3-B362-2035-8B357BB2B032}"/>
            </a:ext>
          </a:extLst>
        </xdr:cNvPr>
        <xdr:cNvSpPr txBox="1"/>
      </xdr:nvSpPr>
      <xdr:spPr>
        <a:xfrm>
          <a:off x="10160000" y="127000"/>
          <a:ext cx="5080000" cy="3810000"/>
        </a:xfrm>
        <a:prstGeom prst="rect">
          <a:avLst/>
        </a:prstGeom>
        <a:solidFill>
          <a:srgbClr val="D3D3D3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📌 How to Navigate This Summary Sheet: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Summary Overview: Displays the total number of responses and key metrics derived from your data.
- Breakdown Tables: Detailed insights based on the following perspectives: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Breakdown of Key Communication Aspects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Pivot Tables: Dynamic data analysis for the following categories: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Pivot by Experience in Retail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Pivot by Communication Frequency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⭐ Tips: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Click on the data cells to view the formulas and related questions. You can customize these formulas to map to other questions as needed.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5" totalsRowShown="0">
  <autoFilter ref="A1:W5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Premium Booking, Aftermarket collection or Speed-up" dataDxfId="16">
      <extLst>
        <ext xmlns:xlmsforms="http://schemas.microsoft.com/office/spreadsheetml/2023/msForms" uri="{FCC71383-01E1-4257-9335-427F07BE8D7F}">
          <xlmsforms:question id="r3fb5c9b9dc5c4784b6adb0c2efcc1427"/>
        </ext>
      </extLst>
    </tableColumn>
    <tableColumn id="8" xr3:uid="{00000000-0010-0000-0000-000008000000}" name="TO number" dataDxfId="15">
      <extLst>
        <ext xmlns:xlmsforms="http://schemas.microsoft.com/office/spreadsheetml/2023/msForms" uri="{FCC71383-01E1-4257-9335-427F07BE8D7F}">
          <xlmsforms:question id="r4015a1e32abc4d43880cf6feeea7a95e"/>
        </ext>
      </extLst>
    </tableColumn>
    <tableColumn id="9" xr3:uid="{00000000-0010-0000-0000-000009000000}" name="MFG Code" dataDxfId="14">
      <extLst>
        <ext xmlns:xlmsforms="http://schemas.microsoft.com/office/spreadsheetml/2023/msForms" uri="{FCC71383-01E1-4257-9335-427F07BE8D7F}">
          <xlmsforms:question id="re83ed30828114d5fb103d2defb87b224"/>
        </ext>
      </extLst>
    </tableColumn>
    <tableColumn id="10" xr3:uid="{00000000-0010-0000-0000-00000A000000}" name="SHP Code" dataDxfId="13">
      <extLst>
        <ext xmlns:xlmsforms="http://schemas.microsoft.com/office/spreadsheetml/2023/msForms" uri="{FCC71383-01E1-4257-9335-427F07BE8D7F}">
          <xlmsforms:question id="r161af54cdba94489bd6f3edf57897048"/>
        </ext>
      </extLst>
    </tableColumn>
    <tableColumn id="21" xr3:uid="{A6C7AADD-A99B-4522-95B1-93F6AE08AB1C}" name="Reasons1" dataDxfId="12">
      <extLst>
        <ext xmlns:xlmsforms="http://schemas.microsoft.com/office/spreadsheetml/2023/msForms" uri="{FCC71383-01E1-4257-9335-427F07BE8D7F}">
          <xlmsforms:question id="r37ff1480903844208566e90223489d7f"/>
        </ext>
      </extLst>
    </tableColumn>
    <tableColumn id="11" xr3:uid="{00000000-0010-0000-0000-00000B000000}" name="Reasons" dataDxfId="11">
      <extLst>
        <ext xmlns:xlmsforms="http://schemas.microsoft.com/office/spreadsheetml/2023/msForms" uri="{FCC71383-01E1-4257-9335-427F07BE8D7F}">
          <xlmsforms:question id="r0e3bd4bd0f864deabeb8eafa059f9804"/>
        </ext>
      </extLst>
    </tableColumn>
    <tableColumn id="12" xr3:uid="{00000000-0010-0000-0000-00000C000000}" name="Comment" dataDxfId="10">
      <extLst>
        <ext xmlns:xlmsforms="http://schemas.microsoft.com/office/spreadsheetml/2023/msForms" uri="{FCC71383-01E1-4257-9335-427F07BE8D7F}">
          <xlmsforms:question id="rbdf2acca664d42318f5ca23ac8ef33dc"/>
        </ext>
      </extLst>
    </tableColumn>
    <tableColumn id="13" xr3:uid="{00000000-0010-0000-0000-00000D000000}" name="PN" dataDxfId="9">
      <extLst>
        <ext xmlns:xlmsforms="http://schemas.microsoft.com/office/spreadsheetml/2023/msForms" uri="{FCC71383-01E1-4257-9335-427F07BE8D7F}">
          <xlmsforms:question id="rc70b80dcae774b1cabfd403973f10eb4"/>
        </ext>
      </extLst>
    </tableColumn>
    <tableColumn id="22" xr3:uid="{0B286170-E22B-45EC-9932-7195AC0D33F6}" name="Reasons2" dataDxfId="8">
      <extLst>
        <ext xmlns:xlmsforms="http://schemas.microsoft.com/office/spreadsheetml/2023/msForms" uri="{FCC71383-01E1-4257-9335-427F07BE8D7F}">
          <xlmsforms:question id="r5ca5b50f8b5543d99e175a696fb37d0c"/>
        </ext>
      </extLst>
    </tableColumn>
    <tableColumn id="14" xr3:uid="{00000000-0010-0000-0000-00000E000000}" name="Quantity" dataDxfId="7">
      <extLst>
        <ext xmlns:xlmsforms="http://schemas.microsoft.com/office/spreadsheetml/2023/msForms" uri="{FCC71383-01E1-4257-9335-427F07BE8D7F}">
          <xlmsforms:question id="re670c6e2641d4dbfac0ade9f860229f6"/>
        </ext>
      </extLst>
    </tableColumn>
    <tableColumn id="15" xr3:uid="{00000000-0010-0000-0000-00000F000000}" name="Collected by:" dataDxfId="6">
      <extLst>
        <ext xmlns:xlmsforms="http://schemas.microsoft.com/office/spreadsheetml/2023/msForms" uri="{FCC71383-01E1-4257-9335-427F07BE8D7F}">
          <xlmsforms:question id="r6fc7fdfea11e484b8ec04ef71bb62efe"/>
        </ext>
      </extLst>
    </tableColumn>
    <tableColumn id="16" xr3:uid="{00000000-0010-0000-0000-000010000000}" name="Comment1" dataDxfId="5">
      <extLst>
        <ext xmlns:xlmsforms="http://schemas.microsoft.com/office/spreadsheetml/2023/msForms" uri="{FCC71383-01E1-4257-9335-427F07BE8D7F}">
          <xlmsforms:question id="r2d7d36f4c4e94bf99c855c18f16a5341"/>
        </ext>
      </extLst>
    </tableColumn>
    <tableColumn id="17" xr3:uid="{00000000-0010-0000-0000-000011000000}" name="TO Number1" dataDxfId="4">
      <extLst>
        <ext xmlns:xlmsforms="http://schemas.microsoft.com/office/spreadsheetml/2023/msForms" uri="{FCC71383-01E1-4257-9335-427F07BE8D7F}">
          <xlmsforms:question id="r9665328552944ce7900bbbc1edf57dcb"/>
        </ext>
      </extLst>
    </tableColumn>
    <tableColumn id="18" xr3:uid="{00000000-0010-0000-0000-000012000000}" name="Part Number" dataDxfId="3">
      <extLst>
        <ext xmlns:xlmsforms="http://schemas.microsoft.com/office/spreadsheetml/2023/msForms" uri="{FCC71383-01E1-4257-9335-427F07BE8D7F}">
          <xlmsforms:question id="r2c3fe3c63e0347f696766b0ebb95fc68"/>
        </ext>
      </extLst>
    </tableColumn>
    <tableColumn id="23" xr3:uid="{58CB5F76-0B76-44AD-A46A-17C3FAE4F82D}" name="Reasons3" dataDxfId="2">
      <extLst>
        <ext xmlns:xlmsforms="http://schemas.microsoft.com/office/spreadsheetml/2023/msForms" uri="{FCC71383-01E1-4257-9335-427F07BE8D7F}">
          <xlmsforms:question id="r824e66f8ef4e4dcd8fe2bfff4a2888a0"/>
        </ext>
      </extLst>
    </tableColumn>
    <tableColumn id="19" xr3:uid="{00000000-0010-0000-0000-000013000000}" name="MFG code1" dataDxfId="1">
      <extLst>
        <ext xmlns:xlmsforms="http://schemas.microsoft.com/office/spreadsheetml/2023/msForms" uri="{FCC71383-01E1-4257-9335-427F07BE8D7F}">
          <xlmsforms:question id="rf2b470982cd340cb9a222daddd4d3ded"/>
        </ext>
      </extLst>
    </tableColumn>
    <tableColumn id="20" xr3:uid="{00000000-0010-0000-0000-000014000000}" name="Comment2" dataDxfId="0">
      <extLst>
        <ext xmlns:xlmsforms="http://schemas.microsoft.com/office/spreadsheetml/2023/msForms" uri="{FCC71383-01E1-4257-9335-427F07BE8D7F}">
          <xlmsforms:question id="r72514169412f48cb802848d3e22d9e8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nb6gUmjZ0iL9Ks14lCgj_mF1c882JhOuUmBjSpIwfVUMU5GOUZHUU5LSk9MWllGQ1Y1Qlk2UTJPMC4u" maxResponseId="10" latestEventMarker="22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r3fb5c9b9dc5c4784b6adb0c2efcc1427</xlmsforms:syncedQuestionId>
        <xlmsforms:syncedQuestionId>r4015a1e32abc4d43880cf6feeea7a95e</xlmsforms:syncedQuestionId>
        <xlmsforms:syncedQuestionId>re83ed30828114d5fb103d2defb87b224</xlmsforms:syncedQuestionId>
        <xlmsforms:syncedQuestionId>r161af54cdba94489bd6f3edf57897048</xlmsforms:syncedQuestionId>
        <xlmsforms:syncedQuestionId>r0e3bd4bd0f864deabeb8eafa059f9804</xlmsforms:syncedQuestionId>
        <xlmsforms:syncedQuestionId>rbdf2acca664d42318f5ca23ac8ef33dc</xlmsforms:syncedQuestionId>
        <xlmsforms:syncedQuestionId>rc70b80dcae774b1cabfd403973f10eb4</xlmsforms:syncedQuestionId>
        <xlmsforms:syncedQuestionId>re670c6e2641d4dbfac0ade9f860229f6</xlmsforms:syncedQuestionId>
        <xlmsforms:syncedQuestionId>r6fc7fdfea11e484b8ec04ef71bb62efe</xlmsforms:syncedQuestionId>
        <xlmsforms:syncedQuestionId>r2d7d36f4c4e94bf99c855c18f16a5341</xlmsforms:syncedQuestionId>
        <xlmsforms:syncedQuestionId>r9665328552944ce7900bbbc1edf57dcb</xlmsforms:syncedQuestionId>
        <xlmsforms:syncedQuestionId>r2c3fe3c63e0347f696766b0ebb95fc68</xlmsforms:syncedQuestionId>
        <xlmsforms:syncedQuestionId>rf2b470982cd340cb9a222daddd4d3ded</xlmsforms:syncedQuestionId>
        <xlmsforms:syncedQuestionId>r72514169412f48cb802848d3e22d9e88</xlmsforms:syncedQuestionId>
        <xlmsforms:syncedQuestionId>r37ff1480903844208566e90223489d7f</xlmsforms:syncedQuestionId>
        <xlmsforms:syncedQuestionId>r5ca5b50f8b5543d99e175a696fb37d0c</xlmsforms:syncedQuestionId>
        <xlmsforms:syncedQuestionId>r824e66f8ef4e4dcd8fe2bfff4a2888a0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6436-2A27-485E-87D9-44FBF4755E67}">
  <dimension ref="A1:W5"/>
  <sheetViews>
    <sheetView tabSelected="1" workbookViewId="0">
      <selection activeCell="G17" sqref="G17"/>
    </sheetView>
  </sheetViews>
  <sheetFormatPr defaultRowHeight="15"/>
  <cols>
    <col min="1" max="6" width="20" bestFit="1" customWidth="1"/>
    <col min="7" max="7" width="36.42578125" customWidth="1"/>
    <col min="8" max="10" width="20" bestFit="1" customWidth="1"/>
    <col min="11" max="11" width="19" customWidth="1"/>
    <col min="12" max="14" width="20" bestFit="1" customWidth="1"/>
    <col min="15" max="15" width="19" customWidth="1"/>
    <col min="16" max="20" width="20" bestFit="1" customWidth="1"/>
    <col min="21" max="21" width="19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3" t="s">
        <v>10</v>
      </c>
      <c r="L1" t="s">
        <v>11</v>
      </c>
      <c r="M1" t="s">
        <v>12</v>
      </c>
      <c r="N1" t="s">
        <v>13</v>
      </c>
      <c r="O1" s="1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3" t="s">
        <v>20</v>
      </c>
      <c r="V1" t="s">
        <v>21</v>
      </c>
      <c r="W1" t="s">
        <v>22</v>
      </c>
    </row>
    <row r="2" spans="1:23">
      <c r="A2">
        <v>7</v>
      </c>
      <c r="B2" s="8">
        <v>45987.422511574099</v>
      </c>
      <c r="C2" s="8">
        <v>45987.422662037003</v>
      </c>
      <c r="D2" s="1" t="s">
        <v>23</v>
      </c>
      <c r="E2" s="1" t="s">
        <v>24</v>
      </c>
      <c r="F2" s="1"/>
      <c r="G2" s="1" t="s">
        <v>25</v>
      </c>
      <c r="H2" s="1"/>
      <c r="I2" s="1"/>
      <c r="J2" s="1"/>
      <c r="K2" s="13"/>
      <c r="L2" s="1"/>
      <c r="M2" s="1"/>
      <c r="N2" s="9" t="s">
        <v>26</v>
      </c>
      <c r="O2" s="14"/>
      <c r="P2" s="9" t="s">
        <v>26</v>
      </c>
      <c r="Q2" s="1" t="s">
        <v>27</v>
      </c>
      <c r="R2" s="9" t="s">
        <v>26</v>
      </c>
      <c r="S2" s="1"/>
      <c r="T2" s="1"/>
      <c r="U2" s="13"/>
      <c r="V2" s="1"/>
      <c r="W2" s="1"/>
    </row>
    <row r="3" spans="1:23">
      <c r="A3">
        <v>8</v>
      </c>
      <c r="B3" s="8">
        <v>45987.422905092601</v>
      </c>
      <c r="C3" s="8">
        <v>45987.423101851797</v>
      </c>
      <c r="D3" s="1" t="s">
        <v>23</v>
      </c>
      <c r="E3" s="1" t="s">
        <v>24</v>
      </c>
      <c r="F3" s="1"/>
      <c r="G3" s="1" t="s">
        <v>28</v>
      </c>
      <c r="H3" s="9" t="s">
        <v>26</v>
      </c>
      <c r="I3" s="9" t="s">
        <v>26</v>
      </c>
      <c r="J3" s="9" t="s">
        <v>26</v>
      </c>
      <c r="K3" s="14"/>
      <c r="L3" s="1" t="s">
        <v>29</v>
      </c>
      <c r="M3" s="9" t="s">
        <v>26</v>
      </c>
      <c r="N3" s="9"/>
      <c r="O3" s="14"/>
      <c r="P3" s="9"/>
      <c r="Q3" s="1"/>
      <c r="R3" s="9"/>
      <c r="S3" s="1"/>
      <c r="T3" s="1"/>
      <c r="U3" s="13"/>
      <c r="V3" s="1"/>
      <c r="W3" s="1"/>
    </row>
    <row r="4" spans="1:23">
      <c r="A4">
        <v>9</v>
      </c>
      <c r="B4" s="8">
        <v>45987.423333333303</v>
      </c>
      <c r="C4" s="8">
        <v>45987.4234953704</v>
      </c>
      <c r="D4" s="1" t="s">
        <v>23</v>
      </c>
      <c r="E4" s="1" t="s">
        <v>24</v>
      </c>
      <c r="F4" s="1"/>
      <c r="G4" s="1" t="s">
        <v>30</v>
      </c>
      <c r="H4" s="9"/>
      <c r="I4" s="9"/>
      <c r="J4" s="9"/>
      <c r="K4" s="14"/>
      <c r="L4" s="1"/>
      <c r="M4" s="9"/>
      <c r="N4" s="9"/>
      <c r="O4" s="14"/>
      <c r="P4" s="9"/>
      <c r="Q4" s="1"/>
      <c r="R4" s="9"/>
      <c r="S4" s="9" t="s">
        <v>31</v>
      </c>
      <c r="T4" s="9" t="s">
        <v>31</v>
      </c>
      <c r="U4" s="14"/>
      <c r="V4" s="9" t="s">
        <v>31</v>
      </c>
      <c r="W4" s="1" t="s">
        <v>32</v>
      </c>
    </row>
    <row r="5" spans="1:23">
      <c r="A5" s="13">
        <v>10</v>
      </c>
      <c r="B5" s="8">
        <v>45989.309131944399</v>
      </c>
      <c r="C5" s="8">
        <v>45989.311249999999</v>
      </c>
      <c r="D5" s="1" t="s">
        <v>33</v>
      </c>
      <c r="E5" s="1" t="s">
        <v>34</v>
      </c>
      <c r="F5" s="1"/>
      <c r="G5" s="1" t="s">
        <v>28</v>
      </c>
      <c r="H5" s="9" t="s">
        <v>35</v>
      </c>
      <c r="I5" s="9" t="s">
        <v>36</v>
      </c>
      <c r="J5" s="9" t="s">
        <v>36</v>
      </c>
      <c r="K5" s="14"/>
      <c r="L5" s="1"/>
      <c r="M5" s="9" t="s">
        <v>37</v>
      </c>
      <c r="N5" s="9"/>
      <c r="O5" s="14"/>
      <c r="P5" s="9"/>
      <c r="Q5" s="1"/>
      <c r="R5" s="9"/>
      <c r="S5" s="9"/>
      <c r="T5" s="9"/>
      <c r="U5" s="14"/>
      <c r="V5" s="9"/>
      <c r="W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56BE-7C6A-433F-83BE-397ACFF83A6F}">
  <dimension ref="A1:C25"/>
  <sheetViews>
    <sheetView workbookViewId="0"/>
  </sheetViews>
  <sheetFormatPr defaultRowHeight="15"/>
  <cols>
    <col min="1" max="4" width="47.5703125" customWidth="1"/>
  </cols>
  <sheetData>
    <row r="1" spans="1:3" ht="75" customHeight="1">
      <c r="A1" s="2" t="s">
        <v>38</v>
      </c>
      <c r="B1" s="2" t="s">
        <v>39</v>
      </c>
    </row>
    <row r="2" spans="1:3" ht="75" customHeight="1">
      <c r="A2" s="3" t="e" vm="1">
        <f>AVERAGEIF(#REF!, "&lt;&gt;")</f>
        <v>#REF!</v>
      </c>
      <c r="B2" s="3">
        <f>COUNTIF(OfficeForms.Table[Id], "&lt;&gt;")</f>
        <v>4</v>
      </c>
    </row>
    <row r="4" spans="1:3" ht="39.950000000000003" customHeight="1">
      <c r="A4" s="10" t="s">
        <v>40</v>
      </c>
      <c r="B4" s="10"/>
      <c r="C4" s="10"/>
    </row>
    <row r="5" spans="1:3" ht="30" customHeight="1">
      <c r="A5" s="4" t="s">
        <v>41</v>
      </c>
      <c r="B5" s="4" t="s">
        <v>38</v>
      </c>
      <c r="C5" s="4" t="s">
        <v>39</v>
      </c>
    </row>
    <row r="6" spans="1:3">
      <c r="A6" s="5" t="e" cm="1" vm="1">
        <f t="array" ref="A6">_xlfn.UNIQUE(_xlfn._xlws.FILTER(#REF!,#REF!&lt;&gt; "" ))</f>
        <v>#REF!</v>
      </c>
      <c r="B6" s="5" t="e" cm="1" vm="1">
        <f t="array" ref="B6">_xlfn.MAKEARRAY(ROWS(_xlfn.UNIQUE(_xlfn._xlws.FILTER(#REF!,#REF!&lt;&gt; "" ))), 1, _xlfn.LAMBDA(_xlpm.r,_xlpm.c, AVERAGE(_xlfn._xlws.FILTER(#REF!,#REF! = INDEX(_xlfn.UNIQUE(_xlfn._xlws.FILTER(#REF!,#REF!&lt;&gt; "" )), _xlpm.r, 1)))))</f>
        <v>#REF!</v>
      </c>
      <c r="C6" s="5" t="e" cm="1" vm="1">
        <f t="array" ref="C6">_xlfn.MAKEARRAY(ROWS(_xlfn.UNIQUE(_xlfn._xlws.FILTER(#REF!,#REF!&lt;&gt; "" ))), 1, _xlfn.LAMBDA(_xlpm.r,_xlpm.c, COUNTIF(#REF!, INDEX(_xlfn.UNIQUE(_xlfn._xlws.FILTER(#REF!,#REF!&lt;&gt; "" )), _xlpm.r, 1))))</f>
        <v>#REF!</v>
      </c>
    </row>
    <row r="12" spans="1:3" ht="39.950000000000003" customHeight="1">
      <c r="A12" s="11" t="s">
        <v>42</v>
      </c>
      <c r="B12" s="11"/>
      <c r="C12" s="11"/>
    </row>
    <row r="13" spans="1:3" ht="30" customHeight="1">
      <c r="A13" s="6" t="s">
        <v>43</v>
      </c>
      <c r="B13" s="6" t="s">
        <v>38</v>
      </c>
      <c r="C13" s="6" t="s">
        <v>39</v>
      </c>
    </row>
    <row r="14" spans="1:3">
      <c r="A14" s="5" t="e" cm="1" vm="1">
        <f t="array" ref="A14">_xlfn.UNIQUE(_xlfn._xlws.FILTER(#REF!,#REF!&lt;&gt; "" ))</f>
        <v>#REF!</v>
      </c>
      <c r="B14" s="5" t="e" cm="1" vm="1">
        <f t="array" ref="B14">_xlfn.MAKEARRAY(ROWS(_xlfn.UNIQUE(_xlfn._xlws.FILTER(#REF!,#REF!&lt;&gt; "" ))), 1, _xlfn.LAMBDA(_xlpm.r,_xlpm.c, AVERAGE(_xlfn._xlws.FILTER(#REF!,#REF! = INDEX(_xlfn.UNIQUE(_xlfn._xlws.FILTER(#REF!,#REF!&lt;&gt; "" )), _xlpm.r, 1)))))</f>
        <v>#REF!</v>
      </c>
      <c r="C14" s="5" t="e" cm="1" vm="1">
        <f t="array" ref="C14">_xlfn.MAKEARRAY(ROWS(_xlfn.UNIQUE(_xlfn._xlws.FILTER(#REF!,#REF!&lt;&gt; "" ))), 1, _xlfn.LAMBDA(_xlpm.r,_xlpm.c, COUNTIF(#REF!, INDEX(_xlfn.UNIQUE(_xlfn._xlws.FILTER(#REF!,#REF!&lt;&gt; "" )), _xlpm.r, 1))))</f>
        <v>#REF!</v>
      </c>
    </row>
    <row r="21" spans="1:2" ht="39.950000000000003" customHeight="1">
      <c r="A21" s="12" t="s">
        <v>44</v>
      </c>
      <c r="B21" s="12"/>
    </row>
    <row r="22" spans="1:2" ht="30" customHeight="1">
      <c r="A22" s="7" t="s">
        <v>45</v>
      </c>
      <c r="B22" s="7" t="s">
        <v>38</v>
      </c>
    </row>
    <row r="23" spans="1:2">
      <c r="A23" s="5" t="s">
        <v>46</v>
      </c>
      <c r="B23" s="5" t="e" vm="1">
        <f>AVERAGEIF(#REF!, "&lt;&gt;")</f>
        <v>#REF!</v>
      </c>
    </row>
    <row r="24" spans="1:2">
      <c r="A24" s="5" t="s">
        <v>47</v>
      </c>
      <c r="B24" s="5" t="e" vm="1">
        <f>AVERAGEIF(#REF!, "&lt;&gt;")</f>
        <v>#REF!</v>
      </c>
    </row>
    <row r="25" spans="1:2">
      <c r="A25" s="5" t="s">
        <v>48</v>
      </c>
      <c r="B25" s="5" t="e" vm="1">
        <f>AVERAGEIF(#REF!, "&lt;&gt;")</f>
        <v>#REF!</v>
      </c>
    </row>
  </sheetData>
  <mergeCells count="3">
    <mergeCell ref="A4:C4"/>
    <mergeCell ref="A12:C12"/>
    <mergeCell ref="A21:B2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Tounsi, Eya</cp:lastModifiedBy>
  <cp:revision/>
  <dcterms:created xsi:type="dcterms:W3CDTF">2025-11-26T09:06:54Z</dcterms:created>
  <dcterms:modified xsi:type="dcterms:W3CDTF">2025-11-28T07:09:16Z</dcterms:modified>
  <cp:category/>
  <cp:contentStatus/>
</cp:coreProperties>
</file>